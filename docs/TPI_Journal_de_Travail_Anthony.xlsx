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eduvaud-my.sharepoint.com/personal/pv22nbo_eduvaud_ch/Documents/Bureau/TPI/"/>
    </mc:Choice>
  </mc:AlternateContent>
  <xr:revisionPtr revIDLastSave="2260" documentId="13_ncr:1_{EFDCB34D-4D99-487E-82C9-6E7A8D14F32E}" xr6:coauthVersionLast="47" xr6:coauthVersionMax="47" xr10:uidLastSave="{6C5A0C61-528D-4A6A-AF67-C42B51733E11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definedNames>
    <definedName name="_xlnm.Print_Titles" localSheetId="0">Journal!$1:$1</definedName>
    <definedName name="_xlnm.Print_Area" localSheetId="0">Journal!$A$1:$F$119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  <c r="F8" i="5" l="1"/>
  <c r="F11" i="5" s="1"/>
</calcChain>
</file>

<file path=xl/sharedStrings.xml><?xml version="1.0" encoding="utf-8"?>
<sst xmlns="http://schemas.openxmlformats.org/spreadsheetml/2006/main" count="339" uniqueCount="183">
  <si>
    <t>Jour</t>
  </si>
  <si>
    <t>Semaine</t>
  </si>
  <si>
    <t>Temps [h]</t>
  </si>
  <si>
    <t>Type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</si>
  <si>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</si>
  <si>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</si>
  <si>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</si>
  <si>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</si>
  <si>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</si>
  <si>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</si>
  <si>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</si>
  <si>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</si>
  <si>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</si>
  <si>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Temps dispo total [h]</t>
  </si>
  <si>
    <t>Travail total [h]</t>
  </si>
  <si>
    <t>Ecart</t>
  </si>
  <si>
    <t>Rencontre avec l'Expert 1</t>
  </si>
  <si>
    <t>Fait Avec Gantt Project</t>
  </si>
  <si>
    <t>Reception du Cahier des Charges</t>
  </si>
  <si>
    <t xml:space="preserve">Planification Initiale </t>
  </si>
  <si>
    <t>Page de Couverture  Pied de Page, Table des matières, début Partie Analyse</t>
  </si>
  <si>
    <t xml:space="preserve">Documentation </t>
  </si>
  <si>
    <t>Estimation bloc d'heure</t>
  </si>
  <si>
    <t xml:space="preserve">Planification Initiale  </t>
  </si>
  <si>
    <t>Finalisation de la Planification initiale</t>
  </si>
  <si>
    <t>Création des Use Cases, Aide avec Gemini</t>
  </si>
  <si>
    <t xml:space="preserve">Use Cases </t>
  </si>
  <si>
    <t>Fait avec Gemini</t>
  </si>
  <si>
    <t>Ajout de l'Expert 1 et du Chef de Projet dans le dépôt Github</t>
  </si>
  <si>
    <t>Aide Avec Gemini</t>
  </si>
  <si>
    <t xml:space="preserve">Analyse des Risques </t>
  </si>
  <si>
    <t xml:space="preserve">Analyse des Besoins </t>
  </si>
  <si>
    <t>Partie 1 - Analyse Préliminaire</t>
  </si>
  <si>
    <t>Modification de la Planification Initiale</t>
  </si>
  <si>
    <t>Ajout du passage du 2ème Expert</t>
  </si>
  <si>
    <t xml:space="preserve">Documentation  </t>
  </si>
  <si>
    <t>Création des Maquettes avec Figma</t>
  </si>
  <si>
    <t xml:space="preserve">Maquettes </t>
  </si>
  <si>
    <t>Fait avec Draw.io</t>
  </si>
  <si>
    <t xml:space="preserve">MCD </t>
  </si>
  <si>
    <t xml:space="preserve">Choix technique du système de session </t>
  </si>
  <si>
    <t xml:space="preserve">Chiffrement des mots de passe </t>
  </si>
  <si>
    <t>Comment hacher les mdp - Fait dans un document Word à part. Mettre après dans la documentation</t>
  </si>
  <si>
    <t xml:space="preserve"> Fait dans un document Word à part. Mettre après dans la documentation</t>
  </si>
  <si>
    <t xml:space="preserve">Architecture de l'Application </t>
  </si>
  <si>
    <t xml:space="preserve">Création avec MySQL Workbench </t>
  </si>
  <si>
    <t xml:space="preserve">MLD </t>
  </si>
  <si>
    <t xml:space="preserve">SQL </t>
  </si>
  <si>
    <t>Génération du Script SQL avec MySQL Workbench -&gt; Export en script</t>
  </si>
  <si>
    <t xml:space="preserve">Clonage du dépôt dans Pycharm </t>
  </si>
  <si>
    <t>Design (MCD,MLD,Maquettes),database</t>
  </si>
  <si>
    <t xml:space="preserve">Création des dossiers de base </t>
  </si>
  <si>
    <t xml:space="preserve">SQL  </t>
  </si>
  <si>
    <t>Exécution du script de création des tables sur MySQL Workbench</t>
  </si>
  <si>
    <t>Partie 2 - Analyse / Conception</t>
  </si>
  <si>
    <t>Pour Dossier (Design et database)</t>
  </si>
  <si>
    <t xml:space="preserve">Ajout des documents dans Pycharm  + Ajout du .gitignore </t>
  </si>
  <si>
    <t xml:space="preserve">Création Feature pour le Hachage de mdp </t>
  </si>
  <si>
    <t>Début - Script Python</t>
  </si>
  <si>
    <t>Journal de Travail + doc en PDF</t>
  </si>
  <si>
    <t xml:space="preserve">Hachage de mdp  </t>
  </si>
  <si>
    <t>Rendu par Mail aux Experts + CP</t>
  </si>
  <si>
    <t xml:space="preserve">Insertion de données de test dans la BD </t>
  </si>
  <si>
    <t xml:space="preserve">Pull Request </t>
  </si>
  <si>
    <t xml:space="preserve">Création Feature pour interface login </t>
  </si>
  <si>
    <t>Design de la page de login</t>
  </si>
  <si>
    <t xml:space="preserve">Interface de Login  </t>
  </si>
  <si>
    <t>Fichier database.py</t>
  </si>
  <si>
    <t>Création Feature pour vérification des accès</t>
  </si>
  <si>
    <t xml:space="preserve">Verification des accès  </t>
  </si>
  <si>
    <t xml:space="preserve">Création d'un script de Seeding pour initialiser les comptes utilisateurs </t>
  </si>
  <si>
    <t>j'ai du vider les tables pour que cela fonctionne</t>
  </si>
  <si>
    <t xml:space="preserve">Réinsertion des données dans la BD </t>
  </si>
  <si>
    <t>Finalisation de la Partie 2 et Modification</t>
  </si>
  <si>
    <t>Création Feature pour les pages Enseignants</t>
  </si>
  <si>
    <t>Page Enseignant</t>
  </si>
  <si>
    <t xml:space="preserve">Création de la page Saisie du Suivi   </t>
  </si>
  <si>
    <t xml:space="preserve">Consultation des suivis  </t>
  </si>
  <si>
    <t xml:space="preserve">Pull Request  </t>
  </si>
  <si>
    <t>Amélioration</t>
  </si>
  <si>
    <t xml:space="preserve">Rendu par Mail aux Experts + CP </t>
  </si>
  <si>
    <t>Création Feature Admin</t>
  </si>
  <si>
    <t>Page Admin</t>
  </si>
  <si>
    <t xml:space="preserve">Review avec le Chef de projet </t>
  </si>
  <si>
    <t>Pour avoir un meilleur rendu</t>
  </si>
  <si>
    <t xml:space="preserve">Modification du Journal de travail </t>
  </si>
  <si>
    <t xml:space="preserve">Droits étendus </t>
  </si>
  <si>
    <t>Ajout champ is_active , numero_de_suivi, heure_debut, heure_fin et Cardinalités</t>
  </si>
  <si>
    <t xml:space="preserve">Modification du MCD </t>
  </si>
  <si>
    <t xml:space="preserve">Modification du MLD  </t>
  </si>
  <si>
    <t>Modification par rapport au MCD</t>
  </si>
  <si>
    <t>Modification MCD et MLD dans le dépôt</t>
  </si>
  <si>
    <t>Ajout de la nouvelle version du MCD et MLD</t>
  </si>
  <si>
    <t xml:space="preserve">Amélioration de la Review </t>
  </si>
  <si>
    <t>Régénérer le script SQL</t>
  </si>
  <si>
    <t xml:space="preserve">Mis à jour de la BD en locale </t>
  </si>
  <si>
    <t>Fonction save_follow_up</t>
  </si>
  <si>
    <t xml:space="preserve">Modification de data_manager.py </t>
  </si>
  <si>
    <t xml:space="preserve">Relancer le fichier seed_users.py </t>
  </si>
  <si>
    <t>Oublie de mettre Auto incrément dans idAssignements</t>
  </si>
  <si>
    <t>Mis à jour du script Create_DB dans le dépôt</t>
  </si>
  <si>
    <t xml:space="preserve">Modification du MLD  + Export du Script </t>
  </si>
  <si>
    <t>Réinsertion des données dans la BD</t>
  </si>
  <si>
    <t>Interface admin et Enseignant</t>
  </si>
  <si>
    <t xml:space="preserve">Ajout Champs Heure de début et de Fin </t>
  </si>
  <si>
    <t>Onglet "TOUS LES SUIVIS"</t>
  </si>
  <si>
    <t xml:space="preserve">Supervision Globale </t>
  </si>
  <si>
    <t>Continuation ,  fonction get_all_follow_ups + Interface</t>
  </si>
  <si>
    <t xml:space="preserve">Supervision Globale  </t>
  </si>
  <si>
    <t>Renommage de la branche feature</t>
  </si>
  <si>
    <t>j'ai changer le nom de la branche en feature/admin_follows-up</t>
  </si>
  <si>
    <t xml:space="preserve">Pull Requests </t>
  </si>
  <si>
    <t xml:space="preserve"> Création Feature pour les statistiques  </t>
  </si>
  <si>
    <t>Renommage du fichier app.py</t>
  </si>
  <si>
    <t>Renommer en login.py pour plus de cohérence</t>
  </si>
  <si>
    <t>Interface + SQL</t>
  </si>
  <si>
    <t xml:space="preserve">Statistique de Gestion </t>
  </si>
  <si>
    <t>Partie 3 - Réalisation</t>
  </si>
  <si>
    <t>Ajout du mysql connector dans requirements.txt</t>
  </si>
  <si>
    <t>Rendu par mail</t>
  </si>
  <si>
    <t>Pull Request</t>
  </si>
  <si>
    <t xml:space="preserve">Création feature pour Gestion des entités </t>
  </si>
  <si>
    <t>Interface Élève (Ajouter, Modifier et Supprimer)</t>
  </si>
  <si>
    <t xml:space="preserve">Gestion des entités </t>
  </si>
  <si>
    <t>Interface Enseignants (Ajouter, Modifier et Supprimer)</t>
  </si>
  <si>
    <t xml:space="preserve">Gestion des entités  </t>
  </si>
  <si>
    <t>Interface Parents (Ajouter, Modifier et Supprimer)</t>
  </si>
  <si>
    <t xml:space="preserve">Pull Requests  </t>
  </si>
  <si>
    <t>Installation et lancement du projet</t>
  </si>
  <si>
    <t xml:space="preserve">Rédaction du README  </t>
  </si>
  <si>
    <t>Continuation et Finalisation</t>
  </si>
  <si>
    <t xml:space="preserve">Rédaction du README   </t>
  </si>
  <si>
    <t>Aide d'un collègue de travail pour vérifier que cela fonctionne</t>
  </si>
  <si>
    <t xml:space="preserve">Test de l'installation et du lancement du projet  </t>
  </si>
  <si>
    <t xml:space="preserve">Modification du README </t>
  </si>
  <si>
    <t>Description</t>
  </si>
  <si>
    <t xml:space="preserve">Visite de l'Expert N°2 </t>
  </si>
  <si>
    <t>Parler de la Présentation et de la Fin du  TPI</t>
  </si>
  <si>
    <t xml:space="preserve">Ajout d'un fichier .env pour la config de la BD </t>
  </si>
  <si>
    <t>Changement car ajout du fichier .env</t>
  </si>
  <si>
    <t xml:space="preserve">Modification du README  </t>
  </si>
  <si>
    <t>je l'avais mis dans le .gitignore alors qu il ne fallait pas ducoup je rechange</t>
  </si>
  <si>
    <t xml:space="preserve">Modification du .env.example  </t>
  </si>
  <si>
    <t>Création Feature attribution pédagogique</t>
  </si>
  <si>
    <t xml:space="preserve">Attribution pédagogique </t>
  </si>
  <si>
    <t>modification du 0,n pour la table assignments + email</t>
  </si>
  <si>
    <t xml:space="preserve">Modification du MLD </t>
  </si>
  <si>
    <t>car changement longueur email</t>
  </si>
  <si>
    <t>en .docx et .xlsx</t>
  </si>
  <si>
    <t xml:space="preserve">Mettre la documentation et le JDT dans le dépôt </t>
  </si>
  <si>
    <t>Changer le JOIN en INNER JOIN dans   get_teacher_follow_ups()</t>
  </si>
  <si>
    <t>Page admin - Problème avec tracking_number</t>
  </si>
  <si>
    <t xml:space="preserve"> Régler Problème Saisir un suivi    </t>
  </si>
  <si>
    <t xml:space="preserve">Changement Tableau TOUS LES SUIVIS </t>
  </si>
  <si>
    <t>Quand un admin fait un suivi il n y avait pas marque que c'était l'admin</t>
  </si>
  <si>
    <t>Onglets - SAISIR UN SUIVI ET TOUS LES SUIVIS</t>
  </si>
  <si>
    <t xml:space="preserve">Vérification fonctionnelle pour la page admin </t>
  </si>
  <si>
    <t>Création Feature pour les tests</t>
  </si>
  <si>
    <t xml:space="preserve"> Security.py</t>
  </si>
  <si>
    <t xml:space="preserve">Test unitaires </t>
  </si>
  <si>
    <t xml:space="preserve">Test d'intégration </t>
  </si>
  <si>
    <t xml:space="preserve"> Documentation  </t>
  </si>
  <si>
    <t>Partie Tests - Test unitaires et Test d'intégration</t>
  </si>
  <si>
    <t>Test Fonctionnels</t>
  </si>
  <si>
    <t xml:space="preserve">Test Fonctionnels </t>
  </si>
  <si>
    <t>Voir Mail</t>
  </si>
  <si>
    <t xml:space="preserve">Amélioration du code pour les commentaires et Docstring </t>
  </si>
  <si>
    <t xml:space="preserve">Amélioration Login.py  </t>
  </si>
  <si>
    <t>Finalisation de la Partie 3 Réalisation</t>
  </si>
  <si>
    <t>Gestion d'erreur</t>
  </si>
  <si>
    <t xml:space="preserve">Ajout de l'en tête pour le fichier test </t>
  </si>
  <si>
    <t xml:space="preserve">README </t>
  </si>
  <si>
    <t xml:space="preserve">Ajout du port </t>
  </si>
  <si>
    <t xml:space="preserve">Modification du fichier .env + modifier dans le code </t>
  </si>
  <si>
    <t>Mis a jour de l'image de l'architecture de l'application + Partie 3.2.3</t>
  </si>
  <si>
    <t>La date de naissance est modifiable alors qu'elle ne doit pas l'être</t>
  </si>
  <si>
    <t>Changement date de naissance dans Gestion des entité</t>
  </si>
  <si>
    <t>Partie Conclusion</t>
  </si>
  <si>
    <t xml:space="preserve"> Documentation </t>
  </si>
  <si>
    <t>Voir si d'autres erreur restantes ou problème</t>
  </si>
  <si>
    <t xml:space="preserve">Test complet de l'application </t>
  </si>
  <si>
    <t>Pour le Numéro de téléphone , Pas fini</t>
  </si>
  <si>
    <t xml:space="preserve">Régler Problème CRUD Parents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</si>
</sst>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  <xf numFmtId="20" fontId="2" fillId="0" borderId="0" xfId="0" applyNumberFormat="1" applyFont="1" applyAlignment="1">
      <alignment vertic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4</c:v>
                </c:pt>
                <c:pt idx="1">
                  <c:v>3</c:v>
                </c:pt>
                <c:pt idx="2">
                  <c:v>30.9</c:v>
                </c:pt>
                <c:pt idx="3">
                  <c:v>3.5</c:v>
                </c:pt>
                <c:pt idx="4">
                  <c:v>19.149999999999999</c:v>
                </c:pt>
                <c:pt idx="5">
                  <c:v>3.5</c:v>
                </c:pt>
                <c:pt idx="6">
                  <c:v>1</c:v>
                </c:pt>
                <c:pt idx="7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zoomScale="11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0911" cy="604595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00"/>
  <sheetViews>
    <sheetView tabSelected="1" zoomScale="85" zoomScaleNormal="85" workbookViewId="0">
      <pane ySplit="1" topLeftCell="A2" activePane="bottomLeft" state="frozen"/>
      <selection pane="bottomLeft" activeCell="F119" sqref="A1:F119"/>
    </sheetView>
  </sheetViews>
  <sheetFormatPr baseColWidth="10" defaultColWidth="9" defaultRowHeight="16.5" x14ac:dyDescent="0.3"/>
  <cols>
    <col min="1" max="1" width="25.75" style="4" bestFit="1" customWidth="1"/>
    <col min="2" max="2" width="13.375" style="15" customWidth="1"/>
    <col min="3" max="3" width="15.25" style="12" customWidth="1"/>
    <col min="4" max="4" width="24.75" style="5" customWidth="1"/>
    <col min="5" max="5" width="96.25" style="1" bestFit="1" customWidth="1"/>
    <col min="6" max="6" width="107.75" style="1" bestFit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135</v>
      </c>
      <c r="F1" s="2" t="s">
        <v>4</v>
      </c>
    </row>
    <row r="2" spans="1:6" ht="24.95" customHeight="1" x14ac:dyDescent="0.3">
      <c r="A2" s="6">
        <v>46135</v>
      </c>
      <c r="B2" s="14">
        <v>1</v>
      </c>
      <c r="C2" s="11">
        <v>0.75</v>
      </c>
      <c r="D2" s="7" t="s">
        <v>12</v>
      </c>
      <c r="E2" s="8" t="s">
        <v>16</v>
      </c>
      <c r="F2" s="20" t="s">
        <v>18</v>
      </c>
    </row>
    <row r="3" spans="1:6" ht="24.95" customHeight="1" x14ac:dyDescent="0.3">
      <c r="A3" s="6">
        <v>46135</v>
      </c>
      <c r="B3" s="14">
        <v>1</v>
      </c>
      <c r="C3" s="11">
        <v>2</v>
      </c>
      <c r="D3" s="7" t="s">
        <v>5</v>
      </c>
      <c r="E3" s="8" t="s">
        <v>19</v>
      </c>
      <c r="F3" s="8" t="s">
        <v>17</v>
      </c>
    </row>
    <row r="4" spans="1:6" ht="24.95" customHeight="1" x14ac:dyDescent="0.3">
      <c r="A4" s="6">
        <v>46135</v>
      </c>
      <c r="B4" s="14">
        <v>1</v>
      </c>
      <c r="C4" s="11">
        <v>1</v>
      </c>
      <c r="D4" s="7" t="s">
        <v>10</v>
      </c>
      <c r="E4" s="8" t="s">
        <v>21</v>
      </c>
      <c r="F4" s="8" t="s">
        <v>20</v>
      </c>
    </row>
    <row r="5" spans="1:6" ht="24.95" customHeight="1" x14ac:dyDescent="0.3">
      <c r="A5" s="6">
        <v>46135</v>
      </c>
      <c r="B5" s="14">
        <v>1</v>
      </c>
      <c r="C5" s="11">
        <v>0.25</v>
      </c>
      <c r="D5" s="7" t="s">
        <v>5</v>
      </c>
      <c r="E5" s="8" t="s">
        <v>23</v>
      </c>
      <c r="F5" s="8" t="s">
        <v>22</v>
      </c>
    </row>
    <row r="6" spans="1:6" ht="24.95" customHeight="1" x14ac:dyDescent="0.3">
      <c r="A6" s="6">
        <v>46139</v>
      </c>
      <c r="B6" s="14">
        <v>2</v>
      </c>
      <c r="C6" s="11">
        <v>0.5</v>
      </c>
      <c r="D6" s="7" t="s">
        <v>5</v>
      </c>
      <c r="E6" s="8" t="s">
        <v>19</v>
      </c>
      <c r="F6" s="8" t="s">
        <v>24</v>
      </c>
    </row>
    <row r="7" spans="1:6" ht="24.95" customHeight="1" x14ac:dyDescent="0.3">
      <c r="A7" s="6">
        <v>46139</v>
      </c>
      <c r="B7" s="14">
        <v>2</v>
      </c>
      <c r="C7" s="11">
        <v>0.5</v>
      </c>
      <c r="D7" s="7" t="s">
        <v>6</v>
      </c>
      <c r="E7" s="8" t="s">
        <v>26</v>
      </c>
      <c r="F7" s="8" t="s">
        <v>25</v>
      </c>
    </row>
    <row r="8" spans="1:6" ht="24.95" customHeight="1" x14ac:dyDescent="0.3">
      <c r="A8" s="6">
        <v>46139</v>
      </c>
      <c r="B8" s="14">
        <v>2</v>
      </c>
      <c r="C8" s="11">
        <v>0.25</v>
      </c>
      <c r="D8" s="7" t="s">
        <v>6</v>
      </c>
      <c r="E8" s="8" t="s">
        <v>31</v>
      </c>
      <c r="F8" s="8" t="s">
        <v>27</v>
      </c>
    </row>
    <row r="9" spans="1:6" ht="24.95" customHeight="1" x14ac:dyDescent="0.3">
      <c r="A9" s="6">
        <v>46139</v>
      </c>
      <c r="B9" s="14">
        <v>2</v>
      </c>
      <c r="C9" s="11">
        <v>0.25</v>
      </c>
      <c r="D9" s="7" t="s">
        <v>12</v>
      </c>
      <c r="E9" s="8" t="s">
        <v>28</v>
      </c>
      <c r="F9" s="8"/>
    </row>
    <row r="10" spans="1:6" ht="24.95" customHeight="1" x14ac:dyDescent="0.3">
      <c r="A10" s="6">
        <v>46139</v>
      </c>
      <c r="B10" s="14">
        <v>2</v>
      </c>
      <c r="C10" s="11">
        <v>0.25</v>
      </c>
      <c r="D10" s="7" t="s">
        <v>6</v>
      </c>
      <c r="E10" s="8" t="s">
        <v>30</v>
      </c>
      <c r="F10" s="8" t="s">
        <v>29</v>
      </c>
    </row>
    <row r="11" spans="1:6" ht="24.95" customHeight="1" x14ac:dyDescent="0.3">
      <c r="A11" s="6">
        <v>46139</v>
      </c>
      <c r="B11" s="14">
        <v>2</v>
      </c>
      <c r="C11" s="11">
        <v>1.5</v>
      </c>
      <c r="D11" s="7" t="s">
        <v>10</v>
      </c>
      <c r="E11" s="8" t="s">
        <v>35</v>
      </c>
      <c r="F11" s="8" t="s">
        <v>32</v>
      </c>
    </row>
    <row r="12" spans="1:6" ht="24.95" customHeight="1" x14ac:dyDescent="0.3">
      <c r="A12" s="6">
        <v>46139</v>
      </c>
      <c r="B12" s="14">
        <v>2</v>
      </c>
      <c r="C12" s="11">
        <v>0.25</v>
      </c>
      <c r="D12" s="7" t="s">
        <v>5</v>
      </c>
      <c r="E12" s="8" t="s">
        <v>33</v>
      </c>
      <c r="F12" s="8" t="s">
        <v>34</v>
      </c>
    </row>
    <row r="13" spans="1:6" ht="24.95" customHeight="1" x14ac:dyDescent="0.3">
      <c r="A13" s="6">
        <v>46139</v>
      </c>
      <c r="B13" s="14">
        <v>2</v>
      </c>
      <c r="C13" s="11">
        <v>1.25</v>
      </c>
      <c r="D13" s="7" t="s">
        <v>6</v>
      </c>
      <c r="E13" s="8" t="s">
        <v>37</v>
      </c>
      <c r="F13" s="8" t="s">
        <v>36</v>
      </c>
    </row>
    <row r="14" spans="1:6" ht="24.95" customHeight="1" x14ac:dyDescent="0.3">
      <c r="A14" s="6">
        <v>46139</v>
      </c>
      <c r="B14" s="14">
        <v>2</v>
      </c>
      <c r="C14" s="11">
        <v>1.5</v>
      </c>
      <c r="D14" s="7" t="s">
        <v>6</v>
      </c>
      <c r="E14" s="17" t="s">
        <v>39</v>
      </c>
      <c r="F14" s="8" t="s">
        <v>38</v>
      </c>
    </row>
    <row r="15" spans="1:6" ht="24.95" customHeight="1" x14ac:dyDescent="0.3">
      <c r="A15" s="6">
        <v>46139</v>
      </c>
      <c r="B15" s="14">
        <v>2</v>
      </c>
      <c r="C15" s="11">
        <v>0.25</v>
      </c>
      <c r="D15" s="7" t="s">
        <v>7</v>
      </c>
      <c r="E15" s="8" t="s">
        <v>40</v>
      </c>
      <c r="F15" s="8" t="s">
        <v>43</v>
      </c>
    </row>
    <row r="16" spans="1:6" ht="24.95" customHeight="1" x14ac:dyDescent="0.3">
      <c r="A16" s="6">
        <v>46139</v>
      </c>
      <c r="B16" s="14">
        <v>2</v>
      </c>
      <c r="C16" s="11">
        <v>0.25</v>
      </c>
      <c r="D16" s="7" t="s">
        <v>7</v>
      </c>
      <c r="E16" s="8" t="s">
        <v>41</v>
      </c>
      <c r="F16" s="8" t="s">
        <v>42</v>
      </c>
    </row>
    <row r="17" spans="1:6" ht="24.95" customHeight="1" x14ac:dyDescent="0.3">
      <c r="A17" s="6">
        <v>46140</v>
      </c>
      <c r="B17" s="14">
        <v>2</v>
      </c>
      <c r="C17" s="11">
        <v>0.25</v>
      </c>
      <c r="D17" s="7" t="s">
        <v>7</v>
      </c>
      <c r="E17" s="8" t="s">
        <v>44</v>
      </c>
      <c r="F17" s="8" t="s">
        <v>43</v>
      </c>
    </row>
    <row r="18" spans="1:6" ht="24.95" customHeight="1" x14ac:dyDescent="0.3">
      <c r="A18" s="6">
        <v>46140</v>
      </c>
      <c r="B18" s="14">
        <v>2</v>
      </c>
      <c r="C18" s="11">
        <v>1.5</v>
      </c>
      <c r="D18" s="7" t="s">
        <v>7</v>
      </c>
      <c r="E18" s="8" t="s">
        <v>46</v>
      </c>
      <c r="F18" s="8" t="s">
        <v>45</v>
      </c>
    </row>
    <row r="19" spans="1:6" ht="24.95" customHeight="1" x14ac:dyDescent="0.3">
      <c r="A19" s="6">
        <v>46140</v>
      </c>
      <c r="B19" s="14">
        <v>2</v>
      </c>
      <c r="C19" s="11">
        <v>0.25</v>
      </c>
      <c r="D19" s="7" t="s">
        <v>8</v>
      </c>
      <c r="E19" s="8" t="s">
        <v>47</v>
      </c>
      <c r="F19" s="8" t="s">
        <v>48</v>
      </c>
    </row>
    <row r="20" spans="1:6" ht="24.95" customHeight="1" x14ac:dyDescent="0.3">
      <c r="A20" s="6">
        <v>46140</v>
      </c>
      <c r="B20" s="14">
        <v>2</v>
      </c>
      <c r="C20" s="11">
        <v>0.25</v>
      </c>
      <c r="D20" s="7" t="s">
        <v>12</v>
      </c>
      <c r="E20" s="8" t="s">
        <v>49</v>
      </c>
      <c r="F20" s="8"/>
    </row>
    <row r="21" spans="1:6" ht="24.95" customHeight="1" x14ac:dyDescent="0.3">
      <c r="A21" s="6">
        <v>46140</v>
      </c>
      <c r="B21" s="14">
        <v>2</v>
      </c>
      <c r="C21" s="11">
        <v>0.25</v>
      </c>
      <c r="D21" s="7" t="s">
        <v>12</v>
      </c>
      <c r="E21" s="8" t="s">
        <v>51</v>
      </c>
      <c r="F21" s="8" t="s">
        <v>50</v>
      </c>
    </row>
    <row r="22" spans="1:6" ht="24.95" customHeight="1" x14ac:dyDescent="0.3">
      <c r="A22" s="6">
        <v>46140</v>
      </c>
      <c r="B22" s="14">
        <v>2</v>
      </c>
      <c r="C22" s="11">
        <v>0.25</v>
      </c>
      <c r="D22" s="7" t="s">
        <v>8</v>
      </c>
      <c r="E22" s="8" t="s">
        <v>52</v>
      </c>
      <c r="F22" s="8" t="s">
        <v>53</v>
      </c>
    </row>
    <row r="23" spans="1:6" ht="24.95" customHeight="1" x14ac:dyDescent="0.3">
      <c r="A23" s="6">
        <v>46140</v>
      </c>
      <c r="B23" s="14">
        <v>2</v>
      </c>
      <c r="C23" s="11">
        <v>1.25</v>
      </c>
      <c r="D23" s="7" t="s">
        <v>10</v>
      </c>
      <c r="E23" s="8" t="s">
        <v>21</v>
      </c>
      <c r="F23" s="8" t="s">
        <v>54</v>
      </c>
    </row>
    <row r="24" spans="1:6" ht="24.95" customHeight="1" x14ac:dyDescent="0.3">
      <c r="A24" s="6">
        <v>46140</v>
      </c>
      <c r="B24" s="14">
        <v>2</v>
      </c>
      <c r="C24" s="11">
        <v>0.25</v>
      </c>
      <c r="D24" s="7" t="s">
        <v>12</v>
      </c>
      <c r="E24" s="8" t="s">
        <v>56</v>
      </c>
      <c r="F24" s="8" t="s">
        <v>55</v>
      </c>
    </row>
    <row r="25" spans="1:6" ht="24.95" customHeight="1" x14ac:dyDescent="0.3">
      <c r="A25" s="6">
        <v>46140</v>
      </c>
      <c r="B25" s="14">
        <v>2</v>
      </c>
      <c r="C25" s="11">
        <v>0.25</v>
      </c>
      <c r="D25" s="7" t="s">
        <v>8</v>
      </c>
      <c r="E25" s="8" t="s">
        <v>57</v>
      </c>
      <c r="F25" s="8"/>
    </row>
    <row r="26" spans="1:6" ht="24.95" customHeight="1" x14ac:dyDescent="0.3">
      <c r="A26" s="6">
        <v>46140</v>
      </c>
      <c r="B26" s="14">
        <v>2</v>
      </c>
      <c r="C26" s="11">
        <v>0.75</v>
      </c>
      <c r="D26" s="7" t="s">
        <v>8</v>
      </c>
      <c r="E26" s="8" t="s">
        <v>60</v>
      </c>
      <c r="F26" s="8" t="s">
        <v>58</v>
      </c>
    </row>
    <row r="27" spans="1:6" ht="24.95" customHeight="1" x14ac:dyDescent="0.3">
      <c r="A27" s="6">
        <v>46140</v>
      </c>
      <c r="B27" s="14">
        <v>2</v>
      </c>
      <c r="C27" s="11">
        <v>0.25</v>
      </c>
      <c r="D27" s="7" t="s">
        <v>5</v>
      </c>
      <c r="E27" s="8" t="s">
        <v>61</v>
      </c>
      <c r="F27" s="8" t="s">
        <v>59</v>
      </c>
    </row>
    <row r="28" spans="1:6" ht="24.95" customHeight="1" x14ac:dyDescent="0.3">
      <c r="A28" s="6">
        <v>46141</v>
      </c>
      <c r="B28" s="14">
        <v>2</v>
      </c>
      <c r="C28" s="11">
        <v>0.25</v>
      </c>
      <c r="D28" s="7" t="s">
        <v>8</v>
      </c>
      <c r="E28" s="8" t="s">
        <v>47</v>
      </c>
      <c r="F28" s="8" t="s">
        <v>62</v>
      </c>
    </row>
    <row r="29" spans="1:6" ht="24.95" customHeight="1" x14ac:dyDescent="0.3">
      <c r="A29" s="6">
        <v>46141</v>
      </c>
      <c r="B29" s="14">
        <v>2</v>
      </c>
      <c r="C29" s="11">
        <v>0.25</v>
      </c>
      <c r="D29" s="7" t="s">
        <v>8</v>
      </c>
      <c r="E29" s="8" t="s">
        <v>63</v>
      </c>
      <c r="F29" s="8"/>
    </row>
    <row r="30" spans="1:6" ht="24.95" customHeight="1" x14ac:dyDescent="0.3">
      <c r="A30" s="6">
        <v>46141</v>
      </c>
      <c r="B30" s="14">
        <v>2</v>
      </c>
      <c r="C30" s="11">
        <v>0.25</v>
      </c>
      <c r="D30" s="7" t="s">
        <v>8</v>
      </c>
      <c r="E30" s="8" t="s">
        <v>64</v>
      </c>
      <c r="F30" s="8"/>
    </row>
    <row r="31" spans="1:6" ht="24.95" customHeight="1" x14ac:dyDescent="0.3">
      <c r="A31" s="6">
        <v>46141</v>
      </c>
      <c r="B31" s="14">
        <v>2</v>
      </c>
      <c r="C31" s="11">
        <v>1.25</v>
      </c>
      <c r="D31" s="7" t="s">
        <v>8</v>
      </c>
      <c r="E31" s="8" t="s">
        <v>66</v>
      </c>
      <c r="F31" s="8" t="s">
        <v>65</v>
      </c>
    </row>
    <row r="32" spans="1:6" ht="24.95" customHeight="1" x14ac:dyDescent="0.3">
      <c r="A32" s="6">
        <v>46141</v>
      </c>
      <c r="B32" s="14">
        <v>2</v>
      </c>
      <c r="C32" s="11">
        <v>0.25</v>
      </c>
      <c r="D32" s="7" t="s">
        <v>8</v>
      </c>
      <c r="E32" s="8" t="s">
        <v>63</v>
      </c>
      <c r="F32" s="8"/>
    </row>
    <row r="33" spans="1:6" ht="24.95" customHeight="1" x14ac:dyDescent="0.3">
      <c r="A33" s="6">
        <v>46141</v>
      </c>
      <c r="B33" s="14">
        <v>2</v>
      </c>
      <c r="C33" s="11">
        <v>0.25</v>
      </c>
      <c r="D33" s="7" t="s">
        <v>8</v>
      </c>
      <c r="E33" s="8" t="s">
        <v>68</v>
      </c>
      <c r="F33" s="8"/>
    </row>
    <row r="34" spans="1:6" ht="24.95" customHeight="1" x14ac:dyDescent="0.3">
      <c r="A34" s="6">
        <v>46141</v>
      </c>
      <c r="B34" s="14">
        <v>2</v>
      </c>
      <c r="C34" s="11">
        <v>0.5</v>
      </c>
      <c r="D34" s="7" t="s">
        <v>8</v>
      </c>
      <c r="E34" s="8" t="s">
        <v>69</v>
      </c>
      <c r="F34" s="8" t="s">
        <v>67</v>
      </c>
    </row>
    <row r="35" spans="1:6" ht="24.95" customHeight="1" x14ac:dyDescent="0.3">
      <c r="A35" s="6">
        <v>46141</v>
      </c>
      <c r="B35" s="14">
        <v>2</v>
      </c>
      <c r="C35" s="11">
        <v>0.25</v>
      </c>
      <c r="D35" s="7" t="s">
        <v>8</v>
      </c>
      <c r="E35" s="8" t="s">
        <v>70</v>
      </c>
      <c r="F35" s="8" t="s">
        <v>71</v>
      </c>
    </row>
    <row r="36" spans="1:6" ht="24.95" customHeight="1" x14ac:dyDescent="0.3">
      <c r="A36" s="6">
        <v>46141</v>
      </c>
      <c r="B36" s="14">
        <v>2</v>
      </c>
      <c r="C36" s="11">
        <v>0.25</v>
      </c>
      <c r="D36" s="7" t="s">
        <v>8</v>
      </c>
      <c r="E36" s="8" t="s">
        <v>72</v>
      </c>
      <c r="F36" s="8"/>
    </row>
    <row r="37" spans="1:6" ht="24.95" customHeight="1" x14ac:dyDescent="0.3">
      <c r="A37" s="6">
        <v>46141</v>
      </c>
      <c r="B37" s="14">
        <v>2</v>
      </c>
      <c r="C37" s="11">
        <v>0.25</v>
      </c>
      <c r="D37" s="7" t="s">
        <v>8</v>
      </c>
      <c r="E37" s="8" t="s">
        <v>63</v>
      </c>
      <c r="F37" s="8"/>
    </row>
    <row r="38" spans="1:6" ht="24.95" customHeight="1" x14ac:dyDescent="0.3">
      <c r="A38" s="6">
        <v>46141</v>
      </c>
      <c r="B38" s="14">
        <v>2</v>
      </c>
      <c r="C38" s="11">
        <v>1.25</v>
      </c>
      <c r="D38" s="7" t="s">
        <v>10</v>
      </c>
      <c r="E38" s="8" t="s">
        <v>21</v>
      </c>
      <c r="F38" s="8" t="s">
        <v>73</v>
      </c>
    </row>
    <row r="39" spans="1:6" ht="24.95" customHeight="1" x14ac:dyDescent="0.3">
      <c r="A39" s="6">
        <v>46141</v>
      </c>
      <c r="B39" s="14">
        <v>2</v>
      </c>
      <c r="C39" s="11">
        <v>0.25</v>
      </c>
      <c r="D39" s="7" t="s">
        <v>8</v>
      </c>
      <c r="E39" s="8" t="s">
        <v>74</v>
      </c>
      <c r="F39" s="8"/>
    </row>
    <row r="40" spans="1:6" ht="24.95" customHeight="1" x14ac:dyDescent="0.3">
      <c r="A40" s="6">
        <v>46141</v>
      </c>
      <c r="B40" s="14">
        <v>2</v>
      </c>
      <c r="C40" s="11">
        <v>1.25</v>
      </c>
      <c r="D40" s="7" t="s">
        <v>8</v>
      </c>
      <c r="E40" s="8" t="s">
        <v>76</v>
      </c>
      <c r="F40" s="8" t="s">
        <v>75</v>
      </c>
    </row>
    <row r="41" spans="1:6" ht="24.95" customHeight="1" x14ac:dyDescent="0.3">
      <c r="A41" s="6">
        <v>46142</v>
      </c>
      <c r="B41" s="14">
        <v>2</v>
      </c>
      <c r="C41" s="11">
        <v>1.25</v>
      </c>
      <c r="D41" s="7" t="s">
        <v>8</v>
      </c>
      <c r="E41" s="8" t="s">
        <v>77</v>
      </c>
      <c r="F41" s="8" t="s">
        <v>75</v>
      </c>
    </row>
    <row r="42" spans="1:6" ht="24.95" customHeight="1" x14ac:dyDescent="0.3">
      <c r="A42" s="6">
        <v>46142</v>
      </c>
      <c r="B42" s="14">
        <v>2</v>
      </c>
      <c r="C42" s="11">
        <v>0.25</v>
      </c>
      <c r="D42" s="7" t="s">
        <v>8</v>
      </c>
      <c r="E42" s="8" t="s">
        <v>78</v>
      </c>
      <c r="F42" s="8"/>
    </row>
    <row r="43" spans="1:6" ht="24.95" customHeight="1" x14ac:dyDescent="0.3">
      <c r="A43" s="6">
        <v>46142</v>
      </c>
      <c r="B43" s="14">
        <v>2</v>
      </c>
      <c r="C43" s="11">
        <v>1.75</v>
      </c>
      <c r="D43" s="7" t="s">
        <v>10</v>
      </c>
      <c r="E43" s="8" t="s">
        <v>21</v>
      </c>
      <c r="F43" s="8" t="s">
        <v>79</v>
      </c>
    </row>
    <row r="44" spans="1:6" ht="24.95" customHeight="1" x14ac:dyDescent="0.3">
      <c r="A44" s="6">
        <v>46142</v>
      </c>
      <c r="B44" s="14">
        <v>2</v>
      </c>
      <c r="C44" s="11">
        <v>0.25</v>
      </c>
      <c r="D44" s="7" t="s">
        <v>5</v>
      </c>
      <c r="E44" s="8" t="s">
        <v>80</v>
      </c>
      <c r="F44" s="8"/>
    </row>
    <row r="45" spans="1:6" ht="24.95" customHeight="1" x14ac:dyDescent="0.3">
      <c r="A45" s="6">
        <v>46146</v>
      </c>
      <c r="B45" s="14">
        <v>3</v>
      </c>
      <c r="C45" s="11">
        <v>0.25</v>
      </c>
      <c r="D45" s="7" t="s">
        <v>8</v>
      </c>
      <c r="E45" s="8" t="s">
        <v>81</v>
      </c>
      <c r="F45" s="8"/>
    </row>
    <row r="46" spans="1:6" ht="24.95" customHeight="1" x14ac:dyDescent="0.3">
      <c r="A46" s="6">
        <v>46146</v>
      </c>
      <c r="B46" s="14">
        <v>3</v>
      </c>
      <c r="C46" s="11">
        <v>0.75</v>
      </c>
      <c r="D46" s="7" t="s">
        <v>8</v>
      </c>
      <c r="E46" s="8" t="s">
        <v>86</v>
      </c>
      <c r="F46" s="8" t="s">
        <v>82</v>
      </c>
    </row>
    <row r="47" spans="1:6" ht="24.95" customHeight="1" x14ac:dyDescent="0.3">
      <c r="A47" s="6">
        <v>46146</v>
      </c>
      <c r="B47" s="14">
        <v>3</v>
      </c>
      <c r="C47" s="11">
        <v>1</v>
      </c>
      <c r="D47" s="7" t="s">
        <v>12</v>
      </c>
      <c r="E47" s="8" t="s">
        <v>83</v>
      </c>
      <c r="F47" s="8"/>
    </row>
    <row r="48" spans="1:6" ht="24.95" customHeight="1" x14ac:dyDescent="0.3">
      <c r="A48" s="6">
        <v>46146</v>
      </c>
      <c r="B48" s="14">
        <v>3</v>
      </c>
      <c r="C48" s="11">
        <v>0.25</v>
      </c>
      <c r="D48" s="7" t="s">
        <v>12</v>
      </c>
      <c r="E48" s="8" t="s">
        <v>85</v>
      </c>
      <c r="F48" s="8" t="s">
        <v>84</v>
      </c>
    </row>
    <row r="49" spans="1:6" ht="24.95" customHeight="1" x14ac:dyDescent="0.3">
      <c r="A49" s="6">
        <v>46146</v>
      </c>
      <c r="B49" s="14">
        <v>3</v>
      </c>
      <c r="C49" s="11">
        <v>0.25</v>
      </c>
      <c r="D49" s="7" t="s">
        <v>6</v>
      </c>
      <c r="E49" s="8" t="s">
        <v>88</v>
      </c>
      <c r="F49" s="8" t="s">
        <v>87</v>
      </c>
    </row>
    <row r="50" spans="1:6" ht="24.95" customHeight="1" x14ac:dyDescent="0.3">
      <c r="A50" s="6">
        <v>46146</v>
      </c>
      <c r="B50" s="14">
        <v>3</v>
      </c>
      <c r="C50" s="11">
        <v>0.5</v>
      </c>
      <c r="D50" s="7" t="s">
        <v>7</v>
      </c>
      <c r="E50" s="8" t="s">
        <v>89</v>
      </c>
      <c r="F50" s="8" t="s">
        <v>90</v>
      </c>
    </row>
    <row r="51" spans="1:6" ht="24.95" customHeight="1" x14ac:dyDescent="0.3">
      <c r="A51" s="6">
        <v>46146</v>
      </c>
      <c r="B51" s="14">
        <v>3</v>
      </c>
      <c r="C51" s="11">
        <v>0.25</v>
      </c>
      <c r="D51" s="7" t="s">
        <v>12</v>
      </c>
      <c r="E51" s="8" t="s">
        <v>91</v>
      </c>
      <c r="F51" s="8" t="s">
        <v>92</v>
      </c>
    </row>
    <row r="52" spans="1:6" ht="24.95" customHeight="1" x14ac:dyDescent="0.3">
      <c r="A52" s="6">
        <v>46146</v>
      </c>
      <c r="B52" s="14">
        <v>3</v>
      </c>
      <c r="C52" s="11">
        <v>1.75</v>
      </c>
      <c r="D52" s="7" t="s">
        <v>10</v>
      </c>
      <c r="E52" s="8" t="s">
        <v>21</v>
      </c>
      <c r="F52" s="8" t="s">
        <v>93</v>
      </c>
    </row>
    <row r="53" spans="1:6" ht="24.95" customHeight="1" x14ac:dyDescent="0.3">
      <c r="A53" s="6">
        <v>46146</v>
      </c>
      <c r="B53" s="14">
        <v>3</v>
      </c>
      <c r="C53" s="11">
        <v>0.25</v>
      </c>
      <c r="D53" s="7" t="s">
        <v>8</v>
      </c>
      <c r="E53" s="8" t="s">
        <v>94</v>
      </c>
      <c r="F53" s="8"/>
    </row>
    <row r="54" spans="1:6" ht="24.95" customHeight="1" x14ac:dyDescent="0.3">
      <c r="A54" s="6">
        <v>46146</v>
      </c>
      <c r="B54" s="14">
        <v>3</v>
      </c>
      <c r="C54" s="11">
        <v>0.25</v>
      </c>
      <c r="D54" s="7" t="s">
        <v>8</v>
      </c>
      <c r="E54" s="8" t="s">
        <v>95</v>
      </c>
      <c r="F54" s="8"/>
    </row>
    <row r="55" spans="1:6" ht="24.95" customHeight="1" x14ac:dyDescent="0.3">
      <c r="A55" s="6">
        <v>46146</v>
      </c>
      <c r="B55" s="14">
        <v>3</v>
      </c>
      <c r="C55" s="11">
        <v>0.25</v>
      </c>
      <c r="D55" s="7" t="s">
        <v>8</v>
      </c>
      <c r="E55" s="8" t="s">
        <v>97</v>
      </c>
      <c r="F55" s="8" t="s">
        <v>96</v>
      </c>
    </row>
    <row r="56" spans="1:6" ht="24.95" customHeight="1" x14ac:dyDescent="0.3">
      <c r="A56" s="6">
        <v>46146</v>
      </c>
      <c r="B56" s="14">
        <v>3</v>
      </c>
      <c r="C56" s="11">
        <v>0.25</v>
      </c>
      <c r="D56" s="7" t="s">
        <v>8</v>
      </c>
      <c r="E56" s="8" t="s">
        <v>98</v>
      </c>
      <c r="F56" s="8"/>
    </row>
    <row r="57" spans="1:6" ht="24.95" customHeight="1" x14ac:dyDescent="0.3">
      <c r="A57" s="6">
        <v>46146</v>
      </c>
      <c r="B57" s="14">
        <v>3</v>
      </c>
      <c r="C57" s="11">
        <v>0.25</v>
      </c>
      <c r="D57" s="7" t="s">
        <v>8</v>
      </c>
      <c r="E57" s="8" t="s">
        <v>102</v>
      </c>
      <c r="F57" s="8" t="s">
        <v>62</v>
      </c>
    </row>
    <row r="58" spans="1:6" ht="24.95" customHeight="1" x14ac:dyDescent="0.3">
      <c r="A58" s="6">
        <v>46146</v>
      </c>
      <c r="B58" s="14">
        <v>3</v>
      </c>
      <c r="C58" s="11">
        <v>0.25</v>
      </c>
      <c r="D58" s="7" t="s">
        <v>8</v>
      </c>
      <c r="E58" s="8" t="s">
        <v>101</v>
      </c>
      <c r="F58" s="8" t="s">
        <v>99</v>
      </c>
    </row>
    <row r="59" spans="1:6" ht="24.95" customHeight="1" x14ac:dyDescent="0.3">
      <c r="A59" s="6">
        <v>46146</v>
      </c>
      <c r="B59" s="14">
        <v>3</v>
      </c>
      <c r="C59" s="11">
        <v>0.25</v>
      </c>
      <c r="D59" s="7" t="s">
        <v>8</v>
      </c>
      <c r="E59" s="8" t="s">
        <v>100</v>
      </c>
      <c r="F59" s="8"/>
    </row>
    <row r="60" spans="1:6" ht="24.95" customHeight="1" x14ac:dyDescent="0.3">
      <c r="A60" s="6">
        <v>46146</v>
      </c>
      <c r="B60" s="14">
        <v>3</v>
      </c>
      <c r="C60" s="11">
        <v>0.25</v>
      </c>
      <c r="D60" s="7" t="s">
        <v>8</v>
      </c>
      <c r="E60" s="8" t="s">
        <v>104</v>
      </c>
      <c r="F60" s="8" t="s">
        <v>103</v>
      </c>
    </row>
    <row r="61" spans="1:6" ht="24.95" customHeight="1" x14ac:dyDescent="0.3">
      <c r="A61" s="6">
        <v>46146</v>
      </c>
      <c r="B61" s="14">
        <v>3</v>
      </c>
      <c r="C61" s="11">
        <v>0.25</v>
      </c>
      <c r="D61" s="7" t="s">
        <v>8</v>
      </c>
      <c r="E61" s="8" t="s">
        <v>106</v>
      </c>
      <c r="F61" s="8" t="s">
        <v>105</v>
      </c>
    </row>
    <row r="62" spans="1:6" ht="24.95" customHeight="1" x14ac:dyDescent="0.3">
      <c r="A62" s="6">
        <v>46147</v>
      </c>
      <c r="B62" s="14">
        <v>3</v>
      </c>
      <c r="C62" s="11">
        <v>1.25</v>
      </c>
      <c r="D62" s="7" t="s">
        <v>8</v>
      </c>
      <c r="E62" s="8" t="s">
        <v>108</v>
      </c>
      <c r="F62" s="8" t="s">
        <v>107</v>
      </c>
    </row>
    <row r="63" spans="1:6" ht="24.95" customHeight="1" x14ac:dyDescent="0.3">
      <c r="A63" s="6">
        <v>46147</v>
      </c>
      <c r="B63" s="14">
        <v>3</v>
      </c>
      <c r="C63" s="11">
        <v>0.25</v>
      </c>
      <c r="D63" s="7" t="s">
        <v>8</v>
      </c>
      <c r="E63" s="8" t="s">
        <v>109</v>
      </c>
      <c r="F63" s="8" t="s">
        <v>110</v>
      </c>
    </row>
    <row r="64" spans="1:6" ht="24.95" customHeight="1" x14ac:dyDescent="0.3">
      <c r="A64" s="6">
        <v>46147</v>
      </c>
      <c r="B64" s="14">
        <v>3</v>
      </c>
      <c r="C64" s="11">
        <v>0.25</v>
      </c>
      <c r="D64" s="7" t="s">
        <v>8</v>
      </c>
      <c r="E64" s="17" t="s">
        <v>111</v>
      </c>
      <c r="F64" s="8"/>
    </row>
    <row r="65" spans="1:6" ht="24.95" customHeight="1" x14ac:dyDescent="0.3">
      <c r="A65" s="6">
        <v>46147</v>
      </c>
      <c r="B65" s="14">
        <v>3</v>
      </c>
      <c r="C65" s="11">
        <v>0.25</v>
      </c>
      <c r="D65" s="7" t="s">
        <v>8</v>
      </c>
      <c r="E65" s="17" t="s">
        <v>112</v>
      </c>
      <c r="F65" s="8"/>
    </row>
    <row r="66" spans="1:6" ht="24.95" customHeight="1" x14ac:dyDescent="0.3">
      <c r="A66" s="6">
        <v>46147</v>
      </c>
      <c r="B66" s="14">
        <v>3</v>
      </c>
      <c r="C66" s="11">
        <v>0.25</v>
      </c>
      <c r="D66" s="7" t="s">
        <v>8</v>
      </c>
      <c r="E66" s="8" t="s">
        <v>113</v>
      </c>
      <c r="F66" s="8" t="s">
        <v>114</v>
      </c>
    </row>
    <row r="67" spans="1:6" ht="24.95" customHeight="1" x14ac:dyDescent="0.3">
      <c r="A67" s="6">
        <v>46147</v>
      </c>
      <c r="B67" s="14">
        <v>3</v>
      </c>
      <c r="C67" s="11">
        <v>2.25</v>
      </c>
      <c r="D67" s="7" t="s">
        <v>8</v>
      </c>
      <c r="E67" s="8" t="s">
        <v>116</v>
      </c>
      <c r="F67" s="8" t="s">
        <v>115</v>
      </c>
    </row>
    <row r="68" spans="1:6" ht="24.95" customHeight="1" x14ac:dyDescent="0.3">
      <c r="A68" s="6">
        <v>46147</v>
      </c>
      <c r="B68" s="14">
        <v>3</v>
      </c>
      <c r="C68" s="11">
        <v>1.1499999999999999</v>
      </c>
      <c r="D68" s="7" t="s">
        <v>10</v>
      </c>
      <c r="E68" s="8" t="s">
        <v>21</v>
      </c>
      <c r="F68" s="8" t="s">
        <v>117</v>
      </c>
    </row>
    <row r="69" spans="1:6" ht="24.95" customHeight="1" x14ac:dyDescent="0.3">
      <c r="A69" s="6">
        <v>46147</v>
      </c>
      <c r="B69" s="14">
        <v>3</v>
      </c>
      <c r="C69" s="11">
        <v>0.25</v>
      </c>
      <c r="D69" s="7" t="s">
        <v>8</v>
      </c>
      <c r="E69" s="8" t="s">
        <v>118</v>
      </c>
      <c r="F69" s="8"/>
    </row>
    <row r="70" spans="1:6" ht="24.95" customHeight="1" x14ac:dyDescent="0.3">
      <c r="A70" s="6">
        <v>46147</v>
      </c>
      <c r="B70" s="14">
        <v>3</v>
      </c>
      <c r="C70" s="11">
        <v>0.25</v>
      </c>
      <c r="D70" s="7" t="s">
        <v>12</v>
      </c>
      <c r="E70" s="8" t="s">
        <v>119</v>
      </c>
      <c r="F70" s="8"/>
    </row>
    <row r="71" spans="1:6" ht="24.95" customHeight="1" x14ac:dyDescent="0.3">
      <c r="A71" s="6">
        <v>46148</v>
      </c>
      <c r="B71" s="14">
        <v>3</v>
      </c>
      <c r="C71" s="11">
        <v>0.25</v>
      </c>
      <c r="D71" s="7" t="s">
        <v>8</v>
      </c>
      <c r="E71" s="8" t="s">
        <v>120</v>
      </c>
      <c r="F71" s="8"/>
    </row>
    <row r="72" spans="1:6" ht="24.95" customHeight="1" x14ac:dyDescent="0.3">
      <c r="A72" s="6">
        <v>46148</v>
      </c>
      <c r="B72" s="14">
        <v>3</v>
      </c>
      <c r="C72" s="11">
        <v>0.25</v>
      </c>
      <c r="D72" s="7" t="s">
        <v>8</v>
      </c>
      <c r="E72" s="8" t="s">
        <v>121</v>
      </c>
      <c r="F72" s="8"/>
    </row>
    <row r="73" spans="1:6" ht="24.95" customHeight="1" x14ac:dyDescent="0.3">
      <c r="A73" s="6">
        <v>46148</v>
      </c>
      <c r="B73" s="14">
        <v>3</v>
      </c>
      <c r="C73" s="11">
        <v>2</v>
      </c>
      <c r="D73" s="7" t="s">
        <v>8</v>
      </c>
      <c r="E73" s="8" t="s">
        <v>123</v>
      </c>
      <c r="F73" s="8" t="s">
        <v>122</v>
      </c>
    </row>
    <row r="74" spans="1:6" ht="24.95" customHeight="1" x14ac:dyDescent="0.3">
      <c r="A74" s="6">
        <v>46148</v>
      </c>
      <c r="B74" s="14">
        <v>3</v>
      </c>
      <c r="C74" s="11">
        <v>1.1499999999999999</v>
      </c>
      <c r="D74" s="7" t="s">
        <v>8</v>
      </c>
      <c r="E74" s="8" t="s">
        <v>125</v>
      </c>
      <c r="F74" s="8" t="s">
        <v>124</v>
      </c>
    </row>
    <row r="75" spans="1:6" ht="24.95" customHeight="1" x14ac:dyDescent="0.3">
      <c r="A75" s="6">
        <v>46148</v>
      </c>
      <c r="B75" s="14">
        <v>3</v>
      </c>
      <c r="C75" s="11">
        <v>2.25</v>
      </c>
      <c r="D75" s="7" t="s">
        <v>8</v>
      </c>
      <c r="E75" s="8" t="s">
        <v>123</v>
      </c>
      <c r="F75" s="8" t="s">
        <v>126</v>
      </c>
    </row>
    <row r="76" spans="1:6" ht="24.95" customHeight="1" x14ac:dyDescent="0.3">
      <c r="A76" s="6">
        <v>46148</v>
      </c>
      <c r="B76" s="14">
        <v>3</v>
      </c>
      <c r="C76" s="11">
        <v>0.25</v>
      </c>
      <c r="D76" s="7" t="s">
        <v>8</v>
      </c>
      <c r="E76" s="8" t="s">
        <v>127</v>
      </c>
      <c r="F76" s="8"/>
    </row>
    <row r="77" spans="1:6" ht="24.95" customHeight="1" x14ac:dyDescent="0.3">
      <c r="A77" s="6">
        <v>46148</v>
      </c>
      <c r="B77" s="14">
        <v>3</v>
      </c>
      <c r="C77" s="11">
        <v>0.5</v>
      </c>
      <c r="D77" s="7" t="s">
        <v>8</v>
      </c>
      <c r="E77" s="8" t="s">
        <v>129</v>
      </c>
      <c r="F77" s="8" t="s">
        <v>128</v>
      </c>
    </row>
    <row r="78" spans="1:6" ht="24.95" customHeight="1" x14ac:dyDescent="0.3">
      <c r="A78" s="6">
        <v>46149</v>
      </c>
      <c r="B78" s="14">
        <v>3</v>
      </c>
      <c r="C78" s="11">
        <v>0.25</v>
      </c>
      <c r="D78" s="7" t="s">
        <v>8</v>
      </c>
      <c r="E78" s="8" t="s">
        <v>131</v>
      </c>
      <c r="F78" s="8" t="s">
        <v>130</v>
      </c>
    </row>
    <row r="79" spans="1:6" ht="24.95" customHeight="1" x14ac:dyDescent="0.3">
      <c r="A79" s="6">
        <v>46149</v>
      </c>
      <c r="B79" s="14">
        <v>3</v>
      </c>
      <c r="C79" s="11">
        <v>0.25</v>
      </c>
      <c r="D79" s="7" t="s">
        <v>12</v>
      </c>
      <c r="E79" s="8" t="s">
        <v>133</v>
      </c>
      <c r="F79" s="8" t="s">
        <v>132</v>
      </c>
    </row>
    <row r="80" spans="1:6" ht="24.95" customHeight="1" x14ac:dyDescent="0.3">
      <c r="A80" s="6">
        <v>46149</v>
      </c>
      <c r="B80" s="14">
        <v>3</v>
      </c>
      <c r="C80" s="11">
        <v>0.25</v>
      </c>
      <c r="D80" s="7" t="s">
        <v>8</v>
      </c>
      <c r="E80" s="8" t="s">
        <v>138</v>
      </c>
      <c r="F80" s="8"/>
    </row>
    <row r="81" spans="1:6" ht="24.95" customHeight="1" x14ac:dyDescent="0.3">
      <c r="A81" s="6">
        <v>46149</v>
      </c>
      <c r="B81" s="14">
        <v>3</v>
      </c>
      <c r="C81" s="11">
        <v>0.25</v>
      </c>
      <c r="D81" s="7" t="s">
        <v>8</v>
      </c>
      <c r="E81" s="8" t="s">
        <v>134</v>
      </c>
      <c r="F81" s="8"/>
    </row>
    <row r="82" spans="1:6" ht="24.95" customHeight="1" x14ac:dyDescent="0.3">
      <c r="A82" s="6">
        <v>46149</v>
      </c>
      <c r="B82" s="14">
        <v>3</v>
      </c>
      <c r="C82" s="11">
        <v>0.25</v>
      </c>
      <c r="D82" s="7" t="s">
        <v>12</v>
      </c>
      <c r="E82" s="17" t="s">
        <v>136</v>
      </c>
      <c r="F82" s="8" t="s">
        <v>137</v>
      </c>
    </row>
    <row r="83" spans="1:6" ht="24.95" customHeight="1" x14ac:dyDescent="0.3">
      <c r="A83" s="6">
        <v>46149</v>
      </c>
      <c r="B83" s="14">
        <v>3</v>
      </c>
      <c r="C83" s="11">
        <v>2.25</v>
      </c>
      <c r="D83" s="7" t="s">
        <v>10</v>
      </c>
      <c r="E83" s="8" t="s">
        <v>10</v>
      </c>
    </row>
    <row r="84" spans="1:6" ht="24.95" customHeight="1" x14ac:dyDescent="0.3">
      <c r="A84" s="6">
        <v>46149</v>
      </c>
      <c r="B84" s="14">
        <v>3</v>
      </c>
      <c r="C84" s="11">
        <v>0.25</v>
      </c>
      <c r="D84" s="7" t="s">
        <v>8</v>
      </c>
      <c r="E84" s="8" t="s">
        <v>140</v>
      </c>
      <c r="F84" s="8" t="s">
        <v>139</v>
      </c>
    </row>
    <row r="85" spans="1:6" ht="24.95" customHeight="1" x14ac:dyDescent="0.3">
      <c r="A85" s="6">
        <v>46149</v>
      </c>
      <c r="B85" s="14">
        <v>3</v>
      </c>
      <c r="C85" s="11">
        <v>0.25</v>
      </c>
      <c r="D85" s="7" t="s">
        <v>12</v>
      </c>
      <c r="E85" s="8" t="s">
        <v>119</v>
      </c>
      <c r="F85" s="8"/>
    </row>
    <row r="86" spans="1:6" ht="24.95" customHeight="1" x14ac:dyDescent="0.3">
      <c r="A86" s="6">
        <v>46153</v>
      </c>
      <c r="B86" s="14">
        <v>4</v>
      </c>
      <c r="C86" s="11">
        <v>0.25</v>
      </c>
      <c r="D86" s="7" t="s">
        <v>8</v>
      </c>
      <c r="E86" s="8" t="s">
        <v>142</v>
      </c>
      <c r="F86" s="8" t="s">
        <v>141</v>
      </c>
    </row>
    <row r="87" spans="1:6" ht="24.95" customHeight="1" x14ac:dyDescent="0.3">
      <c r="A87" s="6">
        <v>46153</v>
      </c>
      <c r="B87" s="14">
        <v>4</v>
      </c>
      <c r="C87" s="11">
        <v>0.25</v>
      </c>
      <c r="D87" s="7" t="s">
        <v>8</v>
      </c>
      <c r="E87" s="8" t="s">
        <v>143</v>
      </c>
      <c r="F87" s="8"/>
    </row>
    <row r="88" spans="1:6" ht="24.95" customHeight="1" x14ac:dyDescent="0.3">
      <c r="A88" s="6">
        <v>46153</v>
      </c>
      <c r="B88" s="14">
        <v>4</v>
      </c>
      <c r="C88" s="11">
        <v>1</v>
      </c>
      <c r="D88" s="7" t="s">
        <v>8</v>
      </c>
      <c r="E88" s="8" t="s">
        <v>144</v>
      </c>
      <c r="F88" s="8" t="s">
        <v>115</v>
      </c>
    </row>
    <row r="89" spans="1:6" ht="24.95" customHeight="1" x14ac:dyDescent="0.3">
      <c r="A89" s="6">
        <v>46153</v>
      </c>
      <c r="B89" s="14">
        <v>4</v>
      </c>
      <c r="C89" s="11">
        <v>0.75</v>
      </c>
      <c r="D89" s="7" t="s">
        <v>12</v>
      </c>
      <c r="E89" s="8" t="s">
        <v>83</v>
      </c>
      <c r="F89" s="8"/>
    </row>
    <row r="90" spans="1:6" ht="24.95" customHeight="1" x14ac:dyDescent="0.3">
      <c r="A90" s="6">
        <v>46153</v>
      </c>
      <c r="B90" s="14">
        <v>4</v>
      </c>
      <c r="C90" s="11">
        <v>0.25</v>
      </c>
      <c r="D90" s="7" t="s">
        <v>7</v>
      </c>
      <c r="E90" s="8" t="s">
        <v>146</v>
      </c>
      <c r="F90" s="8" t="s">
        <v>145</v>
      </c>
    </row>
    <row r="91" spans="1:6" ht="24.95" customHeight="1" x14ac:dyDescent="0.3">
      <c r="A91" s="6">
        <v>46153</v>
      </c>
      <c r="B91" s="14">
        <v>4</v>
      </c>
      <c r="C91" s="11">
        <v>0.25</v>
      </c>
      <c r="D91" s="7" t="s">
        <v>8</v>
      </c>
      <c r="E91" s="8" t="s">
        <v>100</v>
      </c>
      <c r="F91" s="8" t="s">
        <v>147</v>
      </c>
    </row>
    <row r="92" spans="1:6" ht="24.95" customHeight="1" x14ac:dyDescent="0.3">
      <c r="A92" s="6">
        <v>46153</v>
      </c>
      <c r="B92" s="14">
        <v>4</v>
      </c>
      <c r="C92" s="11">
        <v>0.25</v>
      </c>
      <c r="D92" s="7" t="s">
        <v>8</v>
      </c>
      <c r="E92" s="8" t="s">
        <v>149</v>
      </c>
      <c r="F92" s="8" t="s">
        <v>148</v>
      </c>
    </row>
    <row r="93" spans="1:6" ht="24.95" customHeight="1" x14ac:dyDescent="0.3">
      <c r="A93" s="6">
        <v>46153</v>
      </c>
      <c r="B93" s="14">
        <v>4</v>
      </c>
      <c r="C93" s="11">
        <v>0.25</v>
      </c>
      <c r="D93" s="7" t="s">
        <v>8</v>
      </c>
      <c r="E93" s="8" t="s">
        <v>150</v>
      </c>
      <c r="F93" s="17"/>
    </row>
    <row r="94" spans="1:6" ht="24.95" customHeight="1" x14ac:dyDescent="0.3">
      <c r="A94" s="6">
        <v>46153</v>
      </c>
      <c r="B94" s="14">
        <v>4</v>
      </c>
      <c r="C94" s="11">
        <v>1.25</v>
      </c>
      <c r="D94" s="7" t="s">
        <v>10</v>
      </c>
      <c r="E94" s="8" t="s">
        <v>21</v>
      </c>
      <c r="F94" s="8" t="s">
        <v>93</v>
      </c>
    </row>
    <row r="95" spans="1:6" ht="24.95" customHeight="1" x14ac:dyDescent="0.3">
      <c r="A95" s="6">
        <v>46153</v>
      </c>
      <c r="B95" s="14">
        <v>4</v>
      </c>
      <c r="C95" s="11">
        <v>0.25</v>
      </c>
      <c r="D95" s="7" t="s">
        <v>8</v>
      </c>
      <c r="E95" s="8" t="s">
        <v>152</v>
      </c>
      <c r="F95" s="8" t="s">
        <v>151</v>
      </c>
    </row>
    <row r="96" spans="1:6" ht="24.95" customHeight="1" x14ac:dyDescent="0.3">
      <c r="A96" s="6">
        <v>46153</v>
      </c>
      <c r="B96" s="14">
        <v>4</v>
      </c>
      <c r="C96" s="11">
        <v>0.25</v>
      </c>
      <c r="D96" s="7" t="s">
        <v>8</v>
      </c>
      <c r="E96" s="8" t="s">
        <v>127</v>
      </c>
      <c r="F96" s="8"/>
    </row>
    <row r="97" spans="1:6" ht="24.95" customHeight="1" x14ac:dyDescent="0.3">
      <c r="A97" s="6">
        <v>46153</v>
      </c>
      <c r="B97" s="14">
        <v>4</v>
      </c>
      <c r="C97" s="11">
        <v>0.25</v>
      </c>
      <c r="D97" s="7" t="s">
        <v>8</v>
      </c>
      <c r="E97" s="8" t="s">
        <v>153</v>
      </c>
      <c r="F97" s="8" t="s">
        <v>154</v>
      </c>
    </row>
    <row r="98" spans="1:6" ht="24.95" customHeight="1" x14ac:dyDescent="0.3">
      <c r="A98" s="6">
        <v>46153</v>
      </c>
      <c r="B98" s="14">
        <v>4</v>
      </c>
      <c r="C98" s="11">
        <v>0.25</v>
      </c>
      <c r="D98" s="7" t="s">
        <v>8</v>
      </c>
      <c r="E98" s="8" t="s">
        <v>157</v>
      </c>
      <c r="F98" s="8"/>
    </row>
    <row r="99" spans="1:6" ht="24.95" customHeight="1" x14ac:dyDescent="0.3">
      <c r="A99" s="6">
        <v>46153</v>
      </c>
      <c r="B99" s="14">
        <v>4</v>
      </c>
      <c r="C99" s="11">
        <v>0.75</v>
      </c>
      <c r="D99" s="7" t="s">
        <v>9</v>
      </c>
      <c r="E99" s="8" t="s">
        <v>156</v>
      </c>
      <c r="F99" s="8" t="s">
        <v>155</v>
      </c>
    </row>
    <row r="100" spans="1:6" ht="24.95" customHeight="1" x14ac:dyDescent="0.3">
      <c r="A100" s="6">
        <v>46153</v>
      </c>
      <c r="B100" s="14">
        <v>4</v>
      </c>
      <c r="C100" s="11">
        <v>0.75</v>
      </c>
      <c r="D100" s="7" t="s">
        <v>9</v>
      </c>
      <c r="E100" s="8" t="s">
        <v>159</v>
      </c>
      <c r="F100" s="8" t="s">
        <v>158</v>
      </c>
    </row>
    <row r="101" spans="1:6" ht="24.95" customHeight="1" x14ac:dyDescent="0.3">
      <c r="A101" s="6">
        <v>46153</v>
      </c>
      <c r="B101" s="14">
        <v>4</v>
      </c>
      <c r="C101" s="11">
        <v>0.75</v>
      </c>
      <c r="D101" s="7" t="s">
        <v>9</v>
      </c>
      <c r="E101" s="8" t="s">
        <v>160</v>
      </c>
      <c r="F101" s="8"/>
    </row>
    <row r="102" spans="1:6" ht="24.95" customHeight="1" x14ac:dyDescent="0.3">
      <c r="A102" s="6">
        <v>46154</v>
      </c>
      <c r="B102" s="14">
        <v>4</v>
      </c>
      <c r="C102" s="11">
        <v>2.25</v>
      </c>
      <c r="D102" s="7" t="s">
        <v>10</v>
      </c>
      <c r="E102" s="8" t="s">
        <v>161</v>
      </c>
      <c r="F102" s="8" t="s">
        <v>162</v>
      </c>
    </row>
    <row r="103" spans="1:6" ht="24.95" customHeight="1" x14ac:dyDescent="0.3">
      <c r="A103" s="6">
        <v>46154</v>
      </c>
      <c r="B103" s="14">
        <v>4</v>
      </c>
      <c r="C103" s="11">
        <v>0.75</v>
      </c>
      <c r="D103" s="7" t="s">
        <v>9</v>
      </c>
      <c r="E103" s="8" t="s">
        <v>164</v>
      </c>
      <c r="F103" s="8"/>
    </row>
    <row r="104" spans="1:6" ht="24.95" customHeight="1" x14ac:dyDescent="0.3">
      <c r="A104" s="6">
        <v>46154</v>
      </c>
      <c r="B104" s="14">
        <v>4</v>
      </c>
      <c r="C104" s="11">
        <v>1</v>
      </c>
      <c r="D104" s="7" t="s">
        <v>10</v>
      </c>
      <c r="E104" s="8" t="s">
        <v>10</v>
      </c>
      <c r="F104" s="8" t="s">
        <v>163</v>
      </c>
    </row>
    <row r="105" spans="1:6" ht="24.95" customHeight="1" x14ac:dyDescent="0.3">
      <c r="A105" s="6">
        <v>46154</v>
      </c>
      <c r="B105" s="14">
        <v>4</v>
      </c>
      <c r="C105" s="11">
        <v>0.25</v>
      </c>
      <c r="D105" s="7" t="s">
        <v>8</v>
      </c>
      <c r="E105" s="8" t="s">
        <v>127</v>
      </c>
      <c r="F105" s="8"/>
    </row>
    <row r="106" spans="1:6" ht="24.95" customHeight="1" x14ac:dyDescent="0.3">
      <c r="A106" s="6">
        <v>46154</v>
      </c>
      <c r="B106" s="14">
        <v>4</v>
      </c>
      <c r="C106" s="11">
        <v>0.25</v>
      </c>
      <c r="D106" s="7" t="s">
        <v>12</v>
      </c>
      <c r="E106" s="8" t="s">
        <v>119</v>
      </c>
      <c r="F106" s="8"/>
    </row>
    <row r="107" spans="1:6" ht="24.95" customHeight="1" x14ac:dyDescent="0.3">
      <c r="A107" s="6">
        <v>46154</v>
      </c>
      <c r="B107" s="14">
        <v>4</v>
      </c>
      <c r="C107" s="11">
        <v>1</v>
      </c>
      <c r="D107" s="7" t="s">
        <v>11</v>
      </c>
      <c r="E107" s="8"/>
      <c r="F107" s="8" t="s">
        <v>165</v>
      </c>
    </row>
    <row r="108" spans="1:6" ht="24.95" customHeight="1" x14ac:dyDescent="0.3">
      <c r="A108" s="6">
        <v>46155</v>
      </c>
      <c r="B108" s="14">
        <v>4</v>
      </c>
      <c r="C108" s="11">
        <v>1</v>
      </c>
      <c r="D108" s="7" t="s">
        <v>8</v>
      </c>
      <c r="E108" s="8" t="s">
        <v>166</v>
      </c>
      <c r="F108" s="8"/>
    </row>
    <row r="109" spans="1:6" ht="24.95" customHeight="1" x14ac:dyDescent="0.3">
      <c r="A109" s="6">
        <v>46155</v>
      </c>
      <c r="B109" s="14">
        <v>4</v>
      </c>
      <c r="C109" s="11">
        <v>0.5</v>
      </c>
      <c r="D109" s="7" t="s">
        <v>8</v>
      </c>
      <c r="E109" s="17" t="s">
        <v>167</v>
      </c>
      <c r="F109" s="8" t="s">
        <v>169</v>
      </c>
    </row>
    <row r="110" spans="1:6" ht="24.95" customHeight="1" x14ac:dyDescent="0.3">
      <c r="A110" s="6">
        <v>46155</v>
      </c>
      <c r="B110" s="14">
        <v>4</v>
      </c>
      <c r="C110" s="11">
        <v>0.5</v>
      </c>
      <c r="D110" s="7" t="s">
        <v>10</v>
      </c>
      <c r="E110" s="8" t="s">
        <v>35</v>
      </c>
      <c r="F110" s="8" t="s">
        <v>168</v>
      </c>
    </row>
    <row r="111" spans="1:6" ht="24.95" customHeight="1" x14ac:dyDescent="0.3">
      <c r="A111" s="6">
        <v>46155</v>
      </c>
      <c r="B111" s="14">
        <v>4</v>
      </c>
      <c r="C111" s="11">
        <v>0.25</v>
      </c>
      <c r="D111" s="7" t="s">
        <v>8</v>
      </c>
      <c r="E111" s="8" t="s">
        <v>170</v>
      </c>
      <c r="F111" s="8"/>
    </row>
    <row r="112" spans="1:6" ht="24.95" customHeight="1" x14ac:dyDescent="0.3">
      <c r="A112" s="6">
        <v>46155</v>
      </c>
      <c r="B112" s="14">
        <v>4</v>
      </c>
      <c r="C112" s="11">
        <v>0.75</v>
      </c>
      <c r="D112" s="7" t="s">
        <v>8</v>
      </c>
      <c r="E112" s="8" t="s">
        <v>171</v>
      </c>
      <c r="F112" s="8" t="s">
        <v>79</v>
      </c>
    </row>
    <row r="113" spans="1:6" ht="24.95" customHeight="1" x14ac:dyDescent="0.3">
      <c r="A113" s="6">
        <v>46155</v>
      </c>
      <c r="B113" s="14">
        <v>4</v>
      </c>
      <c r="C113" s="11">
        <v>0.25</v>
      </c>
      <c r="D113" s="7" t="s">
        <v>8</v>
      </c>
      <c r="E113" s="8" t="s">
        <v>173</v>
      </c>
      <c r="F113" s="8" t="s">
        <v>172</v>
      </c>
    </row>
    <row r="114" spans="1:6" ht="24.95" customHeight="1" x14ac:dyDescent="0.3">
      <c r="A114" s="6">
        <v>46155</v>
      </c>
      <c r="B114" s="14">
        <v>4</v>
      </c>
      <c r="C114" s="11">
        <v>0.5</v>
      </c>
      <c r="D114" s="7" t="s">
        <v>10</v>
      </c>
      <c r="E114" s="8" t="s">
        <v>21</v>
      </c>
      <c r="F114" s="8" t="s">
        <v>174</v>
      </c>
    </row>
    <row r="115" spans="1:6" ht="24.95" customHeight="1" x14ac:dyDescent="0.3">
      <c r="A115" s="6">
        <v>46155</v>
      </c>
      <c r="B115" s="14">
        <v>4</v>
      </c>
      <c r="C115" s="11">
        <v>0.25</v>
      </c>
      <c r="D115" s="7" t="s">
        <v>8</v>
      </c>
      <c r="E115" s="17" t="s">
        <v>176</v>
      </c>
      <c r="F115" s="8" t="s">
        <v>175</v>
      </c>
    </row>
    <row r="116" spans="1:6" ht="24.95" customHeight="1" x14ac:dyDescent="0.3">
      <c r="A116" s="6">
        <v>46155</v>
      </c>
      <c r="B116" s="14">
        <v>4</v>
      </c>
      <c r="C116" s="11">
        <v>1.75</v>
      </c>
      <c r="D116" s="7" t="s">
        <v>10</v>
      </c>
      <c r="E116" s="17" t="s">
        <v>178</v>
      </c>
      <c r="F116" s="8" t="s">
        <v>177</v>
      </c>
    </row>
    <row r="117" spans="1:6" ht="24.95" customHeight="1" x14ac:dyDescent="0.3">
      <c r="A117" s="6">
        <v>46155</v>
      </c>
      <c r="B117" s="14">
        <v>4</v>
      </c>
      <c r="C117" s="11">
        <v>0.5</v>
      </c>
      <c r="D117" s="7" t="s">
        <v>9</v>
      </c>
      <c r="E117" s="17" t="s">
        <v>180</v>
      </c>
      <c r="F117" s="8" t="s">
        <v>179</v>
      </c>
    </row>
    <row r="118" spans="1:6" ht="24.95" customHeight="1" x14ac:dyDescent="0.3">
      <c r="A118" s="6">
        <v>46155</v>
      </c>
      <c r="B118" s="14">
        <v>4</v>
      </c>
      <c r="C118" s="11">
        <v>0.5</v>
      </c>
      <c r="D118" s="7" t="s">
        <v>8</v>
      </c>
      <c r="E118" s="8" t="s">
        <v>182</v>
      </c>
      <c r="F118" s="8" t="s">
        <v>181</v>
      </c>
    </row>
    <row r="119" spans="1:6" ht="24.95" customHeight="1" x14ac:dyDescent="0.3">
      <c r="A119" s="6">
        <v>46155</v>
      </c>
      <c r="B119" s="14">
        <v>4</v>
      </c>
      <c r="C119" s="11">
        <v>0.25</v>
      </c>
      <c r="D119" s="7" t="s">
        <v>12</v>
      </c>
      <c r="E119" s="8" t="s">
        <v>119</v>
      </c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</sheetData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0866141732283472" right="0.70866141732283472" top="0.74803149606299213" bottom="0.74803149606299213" header="0.31496062992125984" footer="0.31496062992125984"/>
  <pageSetup paperSize="9" scale="42" fitToHeight="0" orientation="landscape" r:id="rId1"/>
  <rowBreaks count="1" manualBreakCount="1">
    <brk id="101" max="5" man="1"/>
  </rowBreaks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F500"/>
  <sheetViews>
    <sheetView zoomScale="110" zoomScaleNormal="110" workbookViewId="0">
      <pane ySplit="1" topLeftCell="A2" activePane="bottomLeft" state="frozen"/>
      <selection pane="bottomLeft" activeCell="K10" sqref="K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  <col min="6" max="6" width="19.625" bestFit="1" customWidth="1"/>
  </cols>
  <sheetData>
    <row r="1" spans="1:6" ht="30" customHeight="1" x14ac:dyDescent="0.3">
      <c r="A1" s="9" t="s">
        <v>3</v>
      </c>
      <c r="B1" s="10" t="s">
        <v>2</v>
      </c>
    </row>
    <row r="2" spans="1:6" ht="24.95" customHeight="1" x14ac:dyDescent="0.3">
      <c r="A2" s="16" t="s">
        <v>6</v>
      </c>
      <c r="B2" s="11">
        <f>SUMIF(Journal!$D$2:$D$160,Tableau13[[#This Row],[Type]],Journal!$C$2:$C$160)</f>
        <v>4</v>
      </c>
    </row>
    <row r="3" spans="1:6" ht="24.95" customHeight="1" x14ac:dyDescent="0.3">
      <c r="A3" s="16" t="s">
        <v>7</v>
      </c>
      <c r="B3" s="11">
        <f>SUMIF(Journal!$D$2:$D$160,Tableau13[[#This Row],[Type]],Journal!$C$2:$C$160)</f>
        <v>3</v>
      </c>
    </row>
    <row r="4" spans="1:6" ht="24.95" customHeight="1" x14ac:dyDescent="0.3">
      <c r="A4" s="16" t="s">
        <v>8</v>
      </c>
      <c r="B4" s="11">
        <f>SUMIF(Journal!$D$2:$D$160,Tableau13[[#This Row],[Type]],Journal!$C$2:$C$160)</f>
        <v>30.9</v>
      </c>
      <c r="F4" s="18" t="s">
        <v>13</v>
      </c>
    </row>
    <row r="5" spans="1:6" ht="24.95" customHeight="1" x14ac:dyDescent="0.3">
      <c r="A5" s="16" t="s">
        <v>9</v>
      </c>
      <c r="B5" s="11">
        <f>SUMIF(Journal!$D$2:$D$160,Tableau13[[#This Row],[Type]],Journal!$C$2:$C$160)</f>
        <v>3.5</v>
      </c>
      <c r="F5" s="18">
        <v>90</v>
      </c>
    </row>
    <row r="6" spans="1:6" ht="24.95" customHeight="1" x14ac:dyDescent="0.3">
      <c r="A6" s="16" t="s">
        <v>10</v>
      </c>
      <c r="B6" s="11">
        <f>SUMIF(Journal!$D$2:$D$160,Tableau13[[#This Row],[Type]],Journal!$C$2:$C$160)</f>
        <v>19.149999999999999</v>
      </c>
    </row>
    <row r="7" spans="1:6" ht="24.95" customHeight="1" x14ac:dyDescent="0.3">
      <c r="A7" s="16" t="s">
        <v>5</v>
      </c>
      <c r="B7" s="11">
        <f>SUMIF(Journal!$D$2:$D$160,Tableau13[[#This Row],[Type]],Journal!$C$2:$C$160)</f>
        <v>3.5</v>
      </c>
      <c r="F7" s="18" t="s">
        <v>14</v>
      </c>
    </row>
    <row r="8" spans="1:6" ht="24.95" customHeight="1" x14ac:dyDescent="0.3">
      <c r="A8" s="16" t="s">
        <v>11</v>
      </c>
      <c r="B8" s="11">
        <f>SUMIF(Journal!$D$2:$D$160,Tableau13[[#This Row],[Type]],Journal!$C$2:$C$160)</f>
        <v>1</v>
      </c>
      <c r="F8" s="19">
        <f>SUM(Tableau13[Temps '[h']])</f>
        <v>70.55</v>
      </c>
    </row>
    <row r="9" spans="1:6" ht="24.95" customHeight="1" x14ac:dyDescent="0.3">
      <c r="A9" s="16" t="s">
        <v>12</v>
      </c>
      <c r="B9" s="11">
        <f>SUMIF(Journal!$D$2:$D$160,Tableau13[[#This Row],[Type]],Journal!$C$2:$C$160)</f>
        <v>5.5</v>
      </c>
    </row>
    <row r="10" spans="1:6" ht="24.95" customHeight="1" x14ac:dyDescent="0.3">
      <c r="A10" s="6"/>
      <c r="B10" s="11"/>
      <c r="F10" s="18" t="s">
        <v>15</v>
      </c>
    </row>
    <row r="11" spans="1:6" ht="24.95" customHeight="1" x14ac:dyDescent="0.3">
      <c r="A11" s="6"/>
      <c r="B11" s="11"/>
      <c r="F11" s="19">
        <f>F8-F5</f>
        <v>-19.450000000000003</v>
      </c>
    </row>
    <row r="12" spans="1:6" ht="24.95" customHeight="1" x14ac:dyDescent="0.3">
      <c r="A12" s="6"/>
      <c r="B12" s="11"/>
    </row>
    <row r="13" spans="1:6" ht="24.95" customHeight="1" x14ac:dyDescent="0.3">
      <c r="A13" s="6"/>
      <c r="B13" s="11"/>
    </row>
    <row r="14" spans="1:6" ht="24.95" customHeight="1" x14ac:dyDescent="0.3">
      <c r="A14" s="6"/>
      <c r="B14" s="11"/>
    </row>
    <row r="15" spans="1:6" ht="24.95" customHeight="1" x14ac:dyDescent="0.3">
      <c r="A15" s="6"/>
      <c r="B15" s="11"/>
    </row>
    <row r="16" spans="1:6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A10" sqref="A10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6</v>
      </c>
    </row>
    <row r="2" spans="1:1" x14ac:dyDescent="0.3">
      <c r="A2" s="3" t="s">
        <v>7</v>
      </c>
    </row>
    <row r="3" spans="1:1" x14ac:dyDescent="0.3">
      <c r="A3" s="3" t="s">
        <v>8</v>
      </c>
    </row>
    <row r="4" spans="1:1" x14ac:dyDescent="0.3">
      <c r="A4" s="3" t="s">
        <v>9</v>
      </c>
    </row>
    <row r="5" spans="1:1" x14ac:dyDescent="0.3">
      <c r="A5" s="3" t="s">
        <v>10</v>
      </c>
    </row>
    <row r="6" spans="1:1" x14ac:dyDescent="0.3">
      <c r="A6" s="3" t="s">
        <v>5</v>
      </c>
    </row>
    <row r="7" spans="1:1" x14ac:dyDescent="0.3">
      <c r="A7" s="3" t="s">
        <v>11</v>
      </c>
    </row>
    <row r="8" spans="1:1" x14ac:dyDescent="0.3">
      <c r="A8" s="3" t="s">
        <v>12</v>
      </c>
    </row>
    <row r="9" spans="1:1" x14ac:dyDescent="0.3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6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6" baseType="lpstr">
      <vt:lpstr>Journal</vt:lpstr>
      <vt:lpstr>Stats</vt:lpstr>
      <vt:lpstr>Listes</vt:lpstr>
      <vt:lpstr>Répartition Heures</vt:lpstr>
      <vt:lpstr>Journal!Impression_des_titres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Anthony Simond</cp:lastModifiedBy>
  <cp:revision/>
  <cp:lastPrinted>2026-05-13T14:33:36Z</cp:lastPrinted>
  <dcterms:created xsi:type="dcterms:W3CDTF">2015-06-05T18:19:34Z</dcterms:created>
  <dcterms:modified xsi:type="dcterms:W3CDTF">2026-05-13T14:33:54Z</dcterms:modified>
  <cp:category/>
  <cp:contentStatus/>
</cp:coreProperties>
</file>